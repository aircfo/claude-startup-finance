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ource Data" sheetId="2" state="visible" r:id="rId4"/>
    <sheet name="Calculation" sheetId="3" state="visible" r:id="rId5"/>
    <sheet name="JE" sheetId="4" state="visible" r:id="rId6"/>
    <sheet name="Prior Perio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<sst xmlns="http://schemas.openxmlformats.org/spreadsheetml/2006/main" count="165" uniqueCount="132">
  <si>
    <t xml:space="preserve">2101 - Accrued Expenses - Usage Accrual 2026.09</t>
  </si>
  <si>
    <t xml:space="preserve">SYNTHETIC DEMO DATA. Honestly Just Spreadsheets, Inc. is a fictional company.</t>
  </si>
  <si>
    <t xml:space="preserve">Company</t>
  </si>
  <si>
    <t xml:space="preserve">Honestly Just Spreadsheets, Inc.</t>
  </si>
  <si>
    <t xml:space="preserve">Period</t>
  </si>
  <si>
    <t xml:space="preserve">September 2026</t>
  </si>
  <si>
    <t xml:space="preserve">Purpose</t>
  </si>
  <si>
    <t xml:space="preserve">Accrue September usage for vendors that bill in arrears, so expense lands in the month it was incurred.</t>
  </si>
  <si>
    <t xml:space="preserve">Policy</t>
  </si>
  <si>
    <t xml:space="preserve">handbook/accounting-policies.md, Accruals: accrue unbilled expenses over $2,500; reverse on the first day of the next month.</t>
  </si>
  <si>
    <t xml:space="preserve">Skill</t>
  </si>
  <si>
    <t xml:space="preserve">skills/usage-accrual/</t>
  </si>
  <si>
    <t xml:space="preserve">Result</t>
  </si>
  <si>
    <t xml:space="preserve">Sources</t>
  </si>
  <si>
    <t xml:space="preserve">Input</t>
  </si>
  <si>
    <t xml:space="preserve">Source</t>
  </si>
  <si>
    <t xml:space="preserve">Stratus Cloud usage</t>
  </si>
  <si>
    <t xml:space="preserve">Vendor billing page export, stratus-usage-2026-09.csv, 2026-09-01 to 2026-09-30</t>
  </si>
  <si>
    <t xml:space="preserve">Lattice Inference usage</t>
  </si>
  <si>
    <t xml:space="preserve">Vendor billing page export, lattice-usage-2026-09.csv, 2026-09-01 to 2026-09-30</t>
  </si>
  <si>
    <t xml:space="preserve">Contract rates</t>
  </si>
  <si>
    <t xml:space="preserve">Order forms and pricing pages, see Calculation tab</t>
  </si>
  <si>
    <t xml:space="preserve">Invoices received</t>
  </si>
  <si>
    <t xml:space="preserve">QuickBooks bills, checked 2026-10-03: none for September usage</t>
  </si>
  <si>
    <t xml:space="preserve">Checks before handoff</t>
  </si>
  <si>
    <t xml:space="preserve">Check</t>
  </si>
  <si>
    <t xml:space="preserve">1. Balanced</t>
  </si>
  <si>
    <t xml:space="preserve">2. Ties to calculation</t>
  </si>
  <si>
    <t xml:space="preserve">3. Reversal date set</t>
  </si>
  <si>
    <t xml:space="preserve">4. Reasonable vs. last month</t>
  </si>
  <si>
    <t xml:space="preserve">5. Accounts valid</t>
  </si>
  <si>
    <t xml:space="preserve">Checked against the QuickBooks account list, 2026-10-03</t>
  </si>
  <si>
    <t xml:space="preserve">Sign-off</t>
  </si>
  <si>
    <t xml:space="preserve">Prepared by</t>
  </si>
  <si>
    <t xml:space="preserve">Claude (run by [name]) on [date]</t>
  </si>
  <si>
    <t xml:space="preserve">Reviewed and approved by</t>
  </si>
  <si>
    <t xml:space="preserve">______________________    Date: __________</t>
  </si>
  <si>
    <t xml:space="preserve">Requires approval by someone other than the preparer, per handbook/company-overview.md.</t>
  </si>
  <si>
    <t xml:space="preserve">Legend</t>
  </si>
  <si>
    <t xml:space="preserve">Blue text</t>
  </si>
  <si>
    <t xml:space="preserve">Inputs from a source document or export. Yellow fill = contract rates to update when contracts change.</t>
  </si>
  <si>
    <t xml:space="preserve">Black text</t>
  </si>
  <si>
    <t xml:space="preserve">Formulas on the same tab.</t>
  </si>
  <si>
    <t xml:space="preserve">Green text</t>
  </si>
  <si>
    <t xml:space="preserve">Links to another tab.</t>
  </si>
  <si>
    <t xml:space="preserve">Source Data: usage exports as downloaded (never edited)</t>
  </si>
  <si>
    <t xml:space="preserve">SYNTHETIC DEMO DATA. Vendors and figures are fictional.</t>
  </si>
  <si>
    <t xml:space="preserve">Vendor</t>
  </si>
  <si>
    <t xml:space="preserve">Environment</t>
  </si>
  <si>
    <t xml:space="preserve">Metric</t>
  </si>
  <si>
    <t xml:space="preserve">Unit</t>
  </si>
  <si>
    <t xml:space="preserve">Period start</t>
  </si>
  <si>
    <t xml:space="preserve">Period end</t>
  </si>
  <si>
    <t xml:space="preserve">Quantity</t>
  </si>
  <si>
    <t xml:space="preserve">Export file</t>
  </si>
  <si>
    <t xml:space="preserve">Stratus Cloud</t>
  </si>
  <si>
    <t xml:space="preserve">production</t>
  </si>
  <si>
    <t xml:space="preserve">Compute</t>
  </si>
  <si>
    <t xml:space="preserve">compute-hours</t>
  </si>
  <si>
    <t xml:space="preserve">stratus-usage-2026-09.csv</t>
  </si>
  <si>
    <t xml:space="preserve">staging</t>
  </si>
  <si>
    <t xml:space="preserve">Storage</t>
  </si>
  <si>
    <t xml:space="preserve">TB-month</t>
  </si>
  <si>
    <t xml:space="preserve">Lattice Inference</t>
  </si>
  <si>
    <t xml:space="preserve">API requests</t>
  </si>
  <si>
    <t xml:space="preserve">thousand requests</t>
  </si>
  <si>
    <t xml:space="preserve">lattice-usage-2026-09.csv</t>
  </si>
  <si>
    <t xml:space="preserve">Invoices already received for September usage: none (checked QuickBooks bills, 2026-10-03).</t>
  </si>
  <si>
    <t xml:space="preserve">Calculation: usage x contract rate</t>
  </si>
  <si>
    <t xml:space="preserve">SYNTHETIC DEMO DATA. Blue = input, black = formula, green = link to another tab.</t>
  </si>
  <si>
    <t xml:space="preserve">Contract rates (inputs)</t>
  </si>
  <si>
    <t xml:space="preserve">Rate</t>
  </si>
  <si>
    <t xml:space="preserve">Value</t>
  </si>
  <si>
    <t xml:space="preserve">Stratus Cloud compute</t>
  </si>
  <si>
    <t xml:space="preserve">$ per compute-hour</t>
  </si>
  <si>
    <t xml:space="preserve">Stratus order form, signed 2026-01-15</t>
  </si>
  <si>
    <t xml:space="preserve">Stratus Cloud storage</t>
  </si>
  <si>
    <t xml:space="preserve">$ per TB-month</t>
  </si>
  <si>
    <t xml:space="preserve">Lattice Inference tier 1 rate</t>
  </si>
  <si>
    <t xml:space="preserve">$ per thousand requests</t>
  </si>
  <si>
    <t xml:space="preserve">Lattice pricing, first 5,000k requests per month</t>
  </si>
  <si>
    <t xml:space="preserve">Lattice Inference tier 1 ceiling</t>
  </si>
  <si>
    <t xml:space="preserve">Lattice pricing</t>
  </si>
  <si>
    <t xml:space="preserve">Lattice Inference tier 2 rate</t>
  </si>
  <si>
    <t xml:space="preserve">Lattice pricing, above 5,000k requests</t>
  </si>
  <si>
    <t xml:space="preserve">Accrual by line</t>
  </si>
  <si>
    <t xml:space="preserve">Line</t>
  </si>
  <si>
    <t xml:space="preserve">Amount</t>
  </si>
  <si>
    <t xml:space="preserve">GL account</t>
  </si>
  <si>
    <t xml:space="preserve">Class</t>
  </si>
  <si>
    <t xml:space="preserve">Stratus Cloud compute, production</t>
  </si>
  <si>
    <t xml:space="preserve">5100 Hosting</t>
  </si>
  <si>
    <t xml:space="preserve">COGS</t>
  </si>
  <si>
    <t xml:space="preserve">Stratus Cloud compute, staging</t>
  </si>
  <si>
    <t xml:space="preserve">6420 Software &amp; Tools</t>
  </si>
  <si>
    <t xml:space="preserve">R&amp;D</t>
  </si>
  <si>
    <t xml:space="preserve">Stratus Cloud storage, production</t>
  </si>
  <si>
    <t xml:space="preserve">Lattice Inference API, production</t>
  </si>
  <si>
    <t xml:space="preserve">5110 AI Inference</t>
  </si>
  <si>
    <t xml:space="preserve">Total accrual</t>
  </si>
  <si>
    <t xml:space="preserve">QuickBooks Online Journal Entry: Usage Accrual 2026.09</t>
  </si>
  <si>
    <t xml:space="preserve">SYNTHETIC DEMO DATA. Reversing accrual: post date = period end, reversal date = first day of next month.</t>
  </si>
  <si>
    <t xml:space="preserve">Post date</t>
  </si>
  <si>
    <t xml:space="preserve">Reversal date</t>
  </si>
  <si>
    <t xml:space="preserve">Account</t>
  </si>
  <si>
    <t xml:space="preserve">Debit</t>
  </si>
  <si>
    <t xml:space="preserve">Credit</t>
  </si>
  <si>
    <t xml:space="preserve">Memo</t>
  </si>
  <si>
    <t xml:space="preserve">Usage Accrual - Stratus Cloud - 2026.09</t>
  </si>
  <si>
    <t xml:space="preserve">Usage Accrual - Stratus Cloud (staging) - 2026.09</t>
  </si>
  <si>
    <t xml:space="preserve">Usage Accrual - Lattice Inference - 2026.09</t>
  </si>
  <si>
    <t xml:space="preserve">2101 Accrued Expenses</t>
  </si>
  <si>
    <t xml:space="preserve">Usage Accrual - 2026.09</t>
  </si>
  <si>
    <t xml:space="preserve">Total</t>
  </si>
  <si>
    <t xml:space="preserve">Prepared by: Claude (run by [name]) on [date]. Requires approval by someone other than the preparer, per the handbook.</t>
  </si>
  <si>
    <t xml:space="preserve">Prior Period: last month's true-up and month-over-month change</t>
  </si>
  <si>
    <t xml:space="preserve">SYNTHETIC DEMO DATA.</t>
  </si>
  <si>
    <t xml:space="preserve">1. August accrual vs. the invoice that replaced it</t>
  </si>
  <si>
    <t xml:space="preserve">Aug accrual</t>
  </si>
  <si>
    <t xml:space="preserve">Aug invoice</t>
  </si>
  <si>
    <t xml:space="preserve">Difference</t>
  </si>
  <si>
    <t xml:space="preserve">Difference %</t>
  </si>
  <si>
    <t xml:space="preserve">Comment</t>
  </si>
  <si>
    <t xml:space="preserve">Under the flux threshold. Storage rate rounding; no change to the method.</t>
  </si>
  <si>
    <t xml:space="preserve">2. September vs. August, by vendor</t>
  </si>
  <si>
    <t xml:space="preserve">Sep accrual</t>
  </si>
  <si>
    <t xml:space="preserve">Change</t>
  </si>
  <si>
    <t xml:space="preserve">Change %</t>
  </si>
  <si>
    <t xml:space="preserve">Explanation</t>
  </si>
  <si>
    <t xml:space="preserve">Under the threshold ($5,000 and 10%). Cloud credits ran out in August, so a step-up was expected.</t>
  </si>
  <si>
    <t xml:space="preserve">New vendor. AI features launched in September 2026. Over the threshold; explained.</t>
  </si>
  <si>
    <t xml:space="preserve">Flux threshold from handbook/close-process.md: more than $5,000 and 10% month over month.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</si>
</sst>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;\(#,##0.0\);\-"/>
    <numFmt numFmtId="167" formatCode="#,##0.000"/>
    <numFmt numFmtId="168" formatCode="#,##0.00"/>
    <numFmt numFmtId="169" formatCode="#,##0.00;\(#,##0.00\);\-"/>
    <numFmt numFmtId="170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7CE"/>
      </left>
      <right style="thin">
        <color rgb="FFBFC7CE"/>
      </right>
      <top style="thin">
        <color rgb="FFBFC7CE"/>
      </top>
      <bottom style="thin">
        <color rgb="FFBFC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7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6.85" hidden="false" customHeight="false" outlineLevel="0" collapsed="false">
      <c r="A6" s="3" t="s">
        <v>6</v>
      </c>
      <c r="B6" s="4" t="s">
        <v>7</v>
      </c>
    </row>
    <row r="7" customFormat="false" ht="26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tr">
        <f aca="false">"Accrue $"&amp;TEXT(JE!E9,"#,##0.00")&amp;" across 2 vendors, reversing 2026-10-01."</f>
        <v>Accrue $30,180.50 across 2 vendors, reversing 2026-10-01.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5" t="s">
        <v>14</v>
      </c>
      <c r="B12" s="5" t="s">
        <v>15</v>
      </c>
    </row>
    <row r="13" customFormat="false" ht="15" hidden="false" customHeight="false" outlineLevel="0" collapsed="false">
      <c r="A13" s="6" t="s">
        <v>16</v>
      </c>
      <c r="B13" s="6" t="s">
        <v>17</v>
      </c>
    </row>
    <row r="14" customFormat="false" ht="15" hidden="false" customHeight="false" outlineLevel="0" collapsed="false">
      <c r="A14" s="6" t="s">
        <v>18</v>
      </c>
      <c r="B14" s="6" t="s">
        <v>19</v>
      </c>
    </row>
    <row r="15" customFormat="false" ht="15" hidden="false" customHeight="false" outlineLevel="0" collapsed="false">
      <c r="A15" s="6" t="s">
        <v>20</v>
      </c>
      <c r="B15" s="6" t="s">
        <v>21</v>
      </c>
    </row>
    <row r="16" customFormat="false" ht="15" hidden="false" customHeight="false" outlineLevel="0" collapsed="false">
      <c r="A16" s="6" t="s">
        <v>22</v>
      </c>
      <c r="B16" s="6" t="s">
        <v>23</v>
      </c>
    </row>
    <row r="18" customFormat="false" ht="15" hidden="false" customHeight="false" outlineLevel="0" collapsed="false">
      <c r="A18" s="3" t="s">
        <v>24</v>
      </c>
    </row>
    <row r="19" customFormat="false" ht="15" hidden="false" customHeight="false" outlineLevel="0" collapsed="false">
      <c r="A19" s="5" t="s">
        <v>25</v>
      </c>
      <c r="B19" s="5" t="s">
        <v>12</v>
      </c>
    </row>
    <row r="20" customFormat="false" ht="15" hidden="false" customHeight="false" outlineLevel="0" collapsed="false">
      <c r="A20" s="6" t="s">
        <v>26</v>
      </c>
      <c r="B20" s="6" t="str">
        <f aca="false">JE!D10</f>
        <v>BALANCED</v>
      </c>
    </row>
    <row r="21" customFormat="false" ht="15" hidden="false" customHeight="false" outlineLevel="0" collapsed="false">
      <c r="A21" s="6" t="s">
        <v>27</v>
      </c>
      <c r="B21" s="6" t="str">
        <f aca="false">IF(ROUND(JE!E9-Calculation!C19,2)=0,"PASS","FAIL")</f>
        <v>PASS</v>
      </c>
    </row>
    <row r="22" customFormat="false" ht="15" hidden="false" customHeight="false" outlineLevel="0" collapsed="false">
      <c r="A22" s="6" t="s">
        <v>28</v>
      </c>
      <c r="B22" s="6" t="str">
        <f aca="false">IF(JE!B5=DATE(2026,10,1),"PASS","FAIL")</f>
        <v>PASS</v>
      </c>
    </row>
    <row r="23" customFormat="false" ht="15" hidden="false" customHeight="false" outlineLevel="0" collapsed="false">
      <c r="A23" s="6" t="s">
        <v>29</v>
      </c>
      <c r="B23" s="6" t="str">
        <f aca="false">'Prior Period'!F13</f>
        <v>Over threshold: explain by vendor (done above)</v>
      </c>
    </row>
    <row r="24" customFormat="false" ht="15" hidden="false" customHeight="false" outlineLevel="0" collapsed="false">
      <c r="A24" s="6" t="s">
        <v>30</v>
      </c>
      <c r="B24" s="6" t="s">
        <v>31</v>
      </c>
    </row>
    <row r="26" customFormat="false" ht="15" hidden="false" customHeight="false" outlineLevel="0" collapsed="false">
      <c r="A26" s="3" t="s">
        <v>32</v>
      </c>
    </row>
    <row r="27" customFormat="false" ht="15" hidden="false" customHeight="false" outlineLevel="0" collapsed="false">
      <c r="A27" s="7" t="s">
        <v>33</v>
      </c>
      <c r="B27" s="7" t="s">
        <v>34</v>
      </c>
    </row>
    <row r="28" customFormat="false" ht="15" hidden="false" customHeight="false" outlineLevel="0" collapsed="false">
      <c r="A28" s="7" t="s">
        <v>35</v>
      </c>
      <c r="B28" s="7" t="s">
        <v>36</v>
      </c>
    </row>
    <row r="29" customFormat="false" ht="15" hidden="false" customHeight="false" outlineLevel="0" collapsed="false">
      <c r="B29" s="8" t="s">
        <v>37</v>
      </c>
    </row>
    <row r="31" customFormat="false" ht="15" hidden="false" customHeight="false" outlineLevel="0" collapsed="false">
      <c r="A31" s="3" t="s">
        <v>38</v>
      </c>
    </row>
    <row r="32" customFormat="false" ht="15" hidden="false" customHeight="false" outlineLevel="0" collapsed="false">
      <c r="A32" s="9" t="s">
        <v>39</v>
      </c>
      <c r="B32" s="7" t="s">
        <v>40</v>
      </c>
    </row>
    <row r="33" customFormat="false" ht="15" hidden="false" customHeight="false" outlineLevel="0" collapsed="false">
      <c r="A33" s="7" t="s">
        <v>41</v>
      </c>
      <c r="B33" s="7" t="s">
        <v>42</v>
      </c>
    </row>
    <row r="34" customFormat="false" ht="15" hidden="false" customHeight="false" outlineLevel="0" collapsed="false">
      <c r="A34" s="10" t="s">
        <v>43</v>
      </c>
      <c r="B34" s="7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7" min="5" style="0" width="13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</row>
    <row r="5" customFormat="false" ht="15" hidden="false" customHeight="false" outlineLevel="0" collapsed="false">
      <c r="A5" s="11" t="s">
        <v>55</v>
      </c>
      <c r="B5" s="11" t="s">
        <v>56</v>
      </c>
      <c r="C5" s="11" t="s">
        <v>57</v>
      </c>
      <c r="D5" s="11" t="s">
        <v>58</v>
      </c>
      <c r="E5" s="12" t="n">
        <v>46266</v>
      </c>
      <c r="F5" s="12" t="n">
        <v>46295</v>
      </c>
      <c r="G5" s="13" t="n">
        <v>182400</v>
      </c>
      <c r="H5" s="11" t="s">
        <v>59</v>
      </c>
    </row>
    <row r="6" customFormat="false" ht="15" hidden="false" customHeight="false" outlineLevel="0" collapsed="false">
      <c r="A6" s="11" t="s">
        <v>55</v>
      </c>
      <c r="B6" s="11" t="s">
        <v>60</v>
      </c>
      <c r="C6" s="11" t="s">
        <v>57</v>
      </c>
      <c r="D6" s="11" t="s">
        <v>58</v>
      </c>
      <c r="E6" s="12" t="n">
        <v>46266</v>
      </c>
      <c r="F6" s="12" t="n">
        <v>46295</v>
      </c>
      <c r="G6" s="13" t="n">
        <v>41200</v>
      </c>
      <c r="H6" s="11" t="s">
        <v>59</v>
      </c>
    </row>
    <row r="7" customFormat="false" ht="15" hidden="false" customHeight="false" outlineLevel="0" collapsed="false">
      <c r="A7" s="11" t="s">
        <v>55</v>
      </c>
      <c r="B7" s="11" t="s">
        <v>56</v>
      </c>
      <c r="C7" s="11" t="s">
        <v>61</v>
      </c>
      <c r="D7" s="11" t="s">
        <v>62</v>
      </c>
      <c r="E7" s="12" t="n">
        <v>46266</v>
      </c>
      <c r="F7" s="12" t="n">
        <v>46295</v>
      </c>
      <c r="G7" s="13" t="n">
        <v>36.5</v>
      </c>
      <c r="H7" s="11" t="s">
        <v>59</v>
      </c>
    </row>
    <row r="8" customFormat="false" ht="15" hidden="false" customHeight="false" outlineLevel="0" collapsed="false">
      <c r="A8" s="11" t="s">
        <v>63</v>
      </c>
      <c r="B8" s="11" t="s">
        <v>56</v>
      </c>
      <c r="C8" s="11" t="s">
        <v>64</v>
      </c>
      <c r="D8" s="11" t="s">
        <v>65</v>
      </c>
      <c r="E8" s="12" t="n">
        <v>46266</v>
      </c>
      <c r="F8" s="12" t="n">
        <v>46295</v>
      </c>
      <c r="G8" s="13" t="n">
        <v>9640</v>
      </c>
      <c r="H8" s="11" t="s">
        <v>66</v>
      </c>
    </row>
    <row r="10" customFormat="false" ht="15" hidden="false" customHeight="false" outlineLevel="0" collapsed="false">
      <c r="A10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3" t="s">
        <v>70</v>
      </c>
    </row>
    <row r="5" customFormat="false" ht="15" hidden="false" customHeight="false" outlineLevel="0" collapsed="false">
      <c r="A5" s="5" t="s">
        <v>71</v>
      </c>
      <c r="B5" s="5" t="s">
        <v>72</v>
      </c>
      <c r="C5" s="5" t="s">
        <v>50</v>
      </c>
      <c r="D5" s="5" t="s">
        <v>15</v>
      </c>
    </row>
    <row r="6" customFormat="false" ht="15" hidden="false" customHeight="false" outlineLevel="0" collapsed="false">
      <c r="A6" s="6" t="s">
        <v>73</v>
      </c>
      <c r="B6" s="14" t="n">
        <v>0.085</v>
      </c>
      <c r="C6" s="6" t="s">
        <v>74</v>
      </c>
      <c r="D6" s="6" t="s">
        <v>75</v>
      </c>
    </row>
    <row r="7" customFormat="false" ht="15" hidden="false" customHeight="false" outlineLevel="0" collapsed="false">
      <c r="A7" s="6" t="s">
        <v>76</v>
      </c>
      <c r="B7" s="15" t="n">
        <v>21</v>
      </c>
      <c r="C7" s="6" t="s">
        <v>77</v>
      </c>
      <c r="D7" s="6" t="s">
        <v>75</v>
      </c>
    </row>
    <row r="8" customFormat="false" ht="15" hidden="false" customHeight="false" outlineLevel="0" collapsed="false">
      <c r="A8" s="6" t="s">
        <v>78</v>
      </c>
      <c r="B8" s="14" t="n">
        <v>1.2</v>
      </c>
      <c r="C8" s="6" t="s">
        <v>79</v>
      </c>
      <c r="D8" s="6" t="s">
        <v>80</v>
      </c>
    </row>
    <row r="9" customFormat="false" ht="15" hidden="false" customHeight="false" outlineLevel="0" collapsed="false">
      <c r="A9" s="6" t="s">
        <v>81</v>
      </c>
      <c r="B9" s="15" t="n">
        <v>5000</v>
      </c>
      <c r="C9" s="6" t="s">
        <v>65</v>
      </c>
      <c r="D9" s="6" t="s">
        <v>82</v>
      </c>
    </row>
    <row r="10" customFormat="false" ht="15" hidden="false" customHeight="false" outlineLevel="0" collapsed="false">
      <c r="A10" s="6" t="s">
        <v>83</v>
      </c>
      <c r="B10" s="14" t="n">
        <v>0.95</v>
      </c>
      <c r="C10" s="6" t="s">
        <v>79</v>
      </c>
      <c r="D10" s="6" t="s">
        <v>84</v>
      </c>
    </row>
    <row r="13" customFormat="false" ht="15" hidden="false" customHeight="false" outlineLevel="0" collapsed="false">
      <c r="A13" s="3" t="s">
        <v>85</v>
      </c>
    </row>
    <row r="14" customFormat="false" ht="15" hidden="false" customHeight="false" outlineLevel="0" collapsed="false">
      <c r="A14" s="5" t="s">
        <v>86</v>
      </c>
      <c r="B14" s="5" t="s">
        <v>53</v>
      </c>
      <c r="C14" s="5" t="s">
        <v>87</v>
      </c>
      <c r="D14" s="5" t="s">
        <v>88</v>
      </c>
      <c r="E14" s="5" t="s">
        <v>89</v>
      </c>
    </row>
    <row r="15" customFormat="false" ht="15" hidden="false" customHeight="false" outlineLevel="0" collapsed="false">
      <c r="A15" s="6" t="s">
        <v>90</v>
      </c>
      <c r="B15" s="16" t="n">
        <f aca="false">'Source Data'!G5</f>
        <v>182400</v>
      </c>
      <c r="C15" s="17" t="n">
        <f aca="false">B15*$B$6</f>
        <v>15504</v>
      </c>
      <c r="D15" s="11" t="s">
        <v>91</v>
      </c>
      <c r="E15" s="11" t="s">
        <v>92</v>
      </c>
    </row>
    <row r="16" customFormat="false" ht="15" hidden="false" customHeight="false" outlineLevel="0" collapsed="false">
      <c r="A16" s="6" t="s">
        <v>93</v>
      </c>
      <c r="B16" s="16" t="n">
        <f aca="false">'Source Data'!G6</f>
        <v>41200</v>
      </c>
      <c r="C16" s="17" t="n">
        <f aca="false">B16*$B$6</f>
        <v>3502</v>
      </c>
      <c r="D16" s="11" t="s">
        <v>94</v>
      </c>
      <c r="E16" s="11" t="s">
        <v>95</v>
      </c>
    </row>
    <row r="17" customFormat="false" ht="15" hidden="false" customHeight="false" outlineLevel="0" collapsed="false">
      <c r="A17" s="6" t="s">
        <v>96</v>
      </c>
      <c r="B17" s="16" t="n">
        <f aca="false">'Source Data'!G7</f>
        <v>36.5</v>
      </c>
      <c r="C17" s="17" t="n">
        <f aca="false">B17*$B$7</f>
        <v>766.5</v>
      </c>
      <c r="D17" s="11" t="s">
        <v>91</v>
      </c>
      <c r="E17" s="11" t="s">
        <v>92</v>
      </c>
    </row>
    <row r="18" customFormat="false" ht="15" hidden="false" customHeight="false" outlineLevel="0" collapsed="false">
      <c r="A18" s="6" t="s">
        <v>97</v>
      </c>
      <c r="B18" s="16" t="n">
        <f aca="false">'Source Data'!G8</f>
        <v>9640</v>
      </c>
      <c r="C18" s="17" t="n">
        <f aca="false">MIN(B18,$B$9)*$B$8+MAX(B18-$B$9,0)*$B$10</f>
        <v>10408</v>
      </c>
      <c r="D18" s="11" t="s">
        <v>98</v>
      </c>
      <c r="E18" s="11" t="s">
        <v>92</v>
      </c>
    </row>
    <row r="19" customFormat="false" ht="15" hidden="false" customHeight="false" outlineLevel="0" collapsed="false">
      <c r="A19" s="18" t="s">
        <v>99</v>
      </c>
      <c r="B19" s="19"/>
      <c r="C19" s="20" t="n">
        <f aca="false">SUM(C15:C18)</f>
        <v>30180.5</v>
      </c>
      <c r="D19" s="19"/>
      <c r="E19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46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26.85" hidden="false" customHeight="false" outlineLevel="0" collapsed="false">
      <c r="A4" s="5" t="s">
        <v>102</v>
      </c>
      <c r="B4" s="5" t="s">
        <v>103</v>
      </c>
      <c r="C4" s="5" t="s">
        <v>104</v>
      </c>
      <c r="D4" s="5" t="s">
        <v>105</v>
      </c>
      <c r="E4" s="5" t="s">
        <v>106</v>
      </c>
      <c r="F4" s="5" t="s">
        <v>107</v>
      </c>
      <c r="G4" s="5" t="s">
        <v>89</v>
      </c>
    </row>
    <row r="5" customFormat="false" ht="15" hidden="false" customHeight="false" outlineLevel="0" collapsed="false">
      <c r="A5" s="21" t="n">
        <v>46295</v>
      </c>
      <c r="B5" s="21" t="n">
        <v>46296</v>
      </c>
      <c r="C5" s="6" t="s">
        <v>91</v>
      </c>
      <c r="D5" s="22" t="n">
        <f aca="false">Calculation!C15+Calculation!C17</f>
        <v>16270.5</v>
      </c>
      <c r="E5" s="17"/>
      <c r="F5" s="6" t="s">
        <v>108</v>
      </c>
      <c r="G5" s="6" t="s">
        <v>92</v>
      </c>
    </row>
    <row r="6" customFormat="false" ht="15" hidden="false" customHeight="false" outlineLevel="0" collapsed="false">
      <c r="A6" s="21" t="n">
        <v>46295</v>
      </c>
      <c r="B6" s="21" t="n">
        <v>46296</v>
      </c>
      <c r="C6" s="6" t="s">
        <v>94</v>
      </c>
      <c r="D6" s="22" t="n">
        <f aca="false">Calculation!C16</f>
        <v>3502</v>
      </c>
      <c r="E6" s="17"/>
      <c r="F6" s="6" t="s">
        <v>109</v>
      </c>
      <c r="G6" s="6" t="s">
        <v>95</v>
      </c>
    </row>
    <row r="7" customFormat="false" ht="15" hidden="false" customHeight="false" outlineLevel="0" collapsed="false">
      <c r="A7" s="21" t="n">
        <v>46295</v>
      </c>
      <c r="B7" s="21" t="n">
        <v>46296</v>
      </c>
      <c r="C7" s="6" t="s">
        <v>98</v>
      </c>
      <c r="D7" s="22" t="n">
        <f aca="false">Calculation!C18</f>
        <v>10408</v>
      </c>
      <c r="E7" s="17"/>
      <c r="F7" s="6" t="s">
        <v>110</v>
      </c>
      <c r="G7" s="6" t="s">
        <v>92</v>
      </c>
    </row>
    <row r="8" customFormat="false" ht="15" hidden="false" customHeight="false" outlineLevel="0" collapsed="false">
      <c r="A8" s="21" t="n">
        <v>46295</v>
      </c>
      <c r="B8" s="21" t="n">
        <v>46296</v>
      </c>
      <c r="C8" s="6" t="s">
        <v>111</v>
      </c>
      <c r="D8" s="17"/>
      <c r="E8" s="22" t="n">
        <f aca="false">Calculation!C19</f>
        <v>30180.5</v>
      </c>
      <c r="F8" s="6" t="s">
        <v>112</v>
      </c>
      <c r="G8" s="6"/>
    </row>
    <row r="9" customFormat="false" ht="15" hidden="false" customHeight="false" outlineLevel="0" collapsed="false">
      <c r="A9" s="19"/>
      <c r="B9" s="19"/>
      <c r="C9" s="18" t="s">
        <v>113</v>
      </c>
      <c r="D9" s="20" t="n">
        <f aca="false">SUM(D5:D8)</f>
        <v>30180.5</v>
      </c>
      <c r="E9" s="20" t="n">
        <f aca="false">SUM(E5:E8)</f>
        <v>30180.5</v>
      </c>
      <c r="F9" s="19"/>
      <c r="G9" s="19"/>
    </row>
    <row r="10" customFormat="false" ht="15" hidden="false" customHeight="false" outlineLevel="0" collapsed="false">
      <c r="A10" s="19"/>
      <c r="B10" s="19"/>
      <c r="C10" s="18" t="s">
        <v>25</v>
      </c>
      <c r="D10" s="23" t="str">
        <f aca="false">IF(ROUND(D9-E9,2)=0,"BALANCED","OUT OF BALANCE")</f>
        <v>BALANCED</v>
      </c>
      <c r="E10" s="19"/>
      <c r="F10" s="19"/>
      <c r="G10" s="19"/>
    </row>
    <row r="12" customFormat="false" ht="15" hidden="false" customHeight="false" outlineLevel="0" collapsed="false">
      <c r="A12" s="3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3" t="s">
        <v>117</v>
      </c>
    </row>
    <row r="5" customFormat="false" ht="26.85" hidden="false" customHeight="false" outlineLevel="0" collapsed="false">
      <c r="A5" s="5" t="s">
        <v>47</v>
      </c>
      <c r="B5" s="5" t="s">
        <v>118</v>
      </c>
      <c r="C5" s="5" t="s">
        <v>119</v>
      </c>
      <c r="D5" s="5" t="s">
        <v>120</v>
      </c>
      <c r="E5" s="5" t="s">
        <v>121</v>
      </c>
      <c r="F5" s="5" t="s">
        <v>122</v>
      </c>
    </row>
    <row r="6" customFormat="false" ht="15" hidden="false" customHeight="false" outlineLevel="0" collapsed="false">
      <c r="A6" s="19" t="s">
        <v>55</v>
      </c>
      <c r="B6" s="24" t="n">
        <v>17950</v>
      </c>
      <c r="C6" s="24" t="n">
        <v>18212.4</v>
      </c>
      <c r="D6" s="17" t="n">
        <f aca="false">C6-B6</f>
        <v>262.400000000001</v>
      </c>
      <c r="E6" s="25" t="n">
        <f aca="false">IF(B6=0,0,D6/B6)</f>
        <v>0.0146183844011143</v>
      </c>
      <c r="F6" s="19" t="s">
        <v>123</v>
      </c>
    </row>
    <row r="9" customFormat="false" ht="15" hidden="false" customHeight="false" outlineLevel="0" collapsed="false">
      <c r="A9" s="3" t="s">
        <v>124</v>
      </c>
    </row>
    <row r="10" customFormat="false" ht="15" hidden="false" customHeight="false" outlineLevel="0" collapsed="false">
      <c r="A10" s="5" t="s">
        <v>47</v>
      </c>
      <c r="B10" s="5" t="s">
        <v>125</v>
      </c>
      <c r="C10" s="5" t="s">
        <v>118</v>
      </c>
      <c r="D10" s="5" t="s">
        <v>126</v>
      </c>
      <c r="E10" s="5" t="s">
        <v>127</v>
      </c>
      <c r="F10" s="5" t="s">
        <v>128</v>
      </c>
    </row>
    <row r="11" customFormat="false" ht="15" hidden="false" customHeight="false" outlineLevel="0" collapsed="false">
      <c r="A11" s="19" t="s">
        <v>55</v>
      </c>
      <c r="B11" s="22" t="n">
        <f aca="false">Calculation!C15+Calculation!C16+Calculation!C17</f>
        <v>19772.5</v>
      </c>
      <c r="C11" s="22" t="n">
        <f aca="false">B6</f>
        <v>17950</v>
      </c>
      <c r="D11" s="17" t="n">
        <f aca="false">B11-C11</f>
        <v>1822.5</v>
      </c>
      <c r="E11" s="25" t="n">
        <f aca="false">IF(C11=0,0,D11/C11)</f>
        <v>0.101532033426184</v>
      </c>
      <c r="F11" s="19" t="s">
        <v>129</v>
      </c>
    </row>
    <row r="12" customFormat="false" ht="15" hidden="false" customHeight="false" outlineLevel="0" collapsed="false">
      <c r="A12" s="19" t="s">
        <v>63</v>
      </c>
      <c r="B12" s="22" t="n">
        <f aca="false">Calculation!C18</f>
        <v>10408</v>
      </c>
      <c r="C12" s="24" t="n">
        <v>0</v>
      </c>
      <c r="D12" s="17" t="n">
        <f aca="false">B12-C12</f>
        <v>10408</v>
      </c>
      <c r="E12" s="25" t="n">
        <f aca="false">IF(C12=0,0,D12/C12)</f>
        <v>0</v>
      </c>
      <c r="F12" s="19" t="s">
        <v>130</v>
      </c>
    </row>
    <row r="13" customFormat="false" ht="15" hidden="false" customHeight="false" outlineLevel="0" collapsed="false">
      <c r="A13" s="18" t="s">
        <v>113</v>
      </c>
      <c r="B13" s="22" t="n">
        <f aca="false">SUM(B11:B12)</f>
        <v>30180.5</v>
      </c>
      <c r="C13" s="17" t="n">
        <f aca="false">SUM(C11:C12)</f>
        <v>17950</v>
      </c>
      <c r="D13" s="17" t="n">
        <f aca="false">B13-C13</f>
        <v>12230.5</v>
      </c>
      <c r="E13" s="25" t="n">
        <f aca="false">IF(C13=0,0,D13/C13)</f>
        <v>0.681364902506964</v>
      </c>
      <c r="F13" s="19" t="str">
        <f aca="false">IF(AND(ABS(D13)&gt;5000,ABS(D13)&gt;0.1*C13),"Over threshold: explain by vendor (done above)","Under threshold")</f>
        <v>Over threshold: explain by vendor (done above)</v>
      </c>
    </row>
    <row r="15" customFormat="false" ht="15" hidden="false" customHeight="false" outlineLevel="0" collapsed="false">
      <c r="A15" s="7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2026-10-27T18:28:59Z</dcterms:created>
  <dc:creator>openpyxl</dc:creator>
  <dc:description/>
  <dc:language>en-US</dc:language>
  <cp:lastModifiedBy/>
  <dcterms:modified xsi:type="dcterms:W3CDTF">2026-10-27T18:28:59Z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